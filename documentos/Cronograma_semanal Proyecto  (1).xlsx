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8517A9D2-D3D5-406E-94B0-9ACE0D747EE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1" l="1"/>
  <c r="F9" i="1"/>
  <c r="G4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<sst xmlns="http://schemas.openxmlformats.org/spreadsheetml/2006/main" count="37" uniqueCount="31">
  <si>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</si>
  <si>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</si>
  <si>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</si>
  <si>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</si>
  <si>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</si>
  <si>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</si>
  <si>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</si>
  <si>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</si>
  <si>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</si>
  <si>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</si>
  <si>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</si>
  <si>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</si>
  <si>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</si>
  <si>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</si>
  <si>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</si>
  <si>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</si>
  <si>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</si>
  <si>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</si>
  <si>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>Frontend (Erick, Sebastian)</t>
  </si>
  <si>
    <t>Backend (Cristian, Keyner)</t>
  </si>
  <si>
    <t>Documentador (Cristian)</t>
  </si>
  <si>
    <t>Lider (Cristian)</t>
  </si>
  <si>
    <t>12:00pm-6:00pm</t>
  </si>
  <si>
    <t>ADSO</t>
  </si>
  <si>
    <t>Maria Teresa Salcedo</t>
  </si>
  <si>
    <t>Dizar Asociados</t>
  </si>
  <si>
    <t>N/A</t>
  </si>
  <si>
    <t>Se agregó un apartado para los casos, notificaciones, caso, subir documentos, el seguimiento y el chat.</t>
  </si>
  <si>
    <t>Se rediseñó la interfáz de casos, chat y documentos</t>
  </si>
  <si>
    <t>nuevo diseño del digrama de casos de uso</t>
  </si>
  <si>
    <t>está en proceso el cambio de php a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</si>
</sst>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zoomScale="120" zoomScaleNormal="120" workbookViewId="0">
      <selection activeCell="G12" sqref="G12"/>
    </sheetView>
  </sheetViews>
  <sheetFormatPr baseColWidth="10" defaultColWidth="8.5703125" defaultRowHeight="15" x14ac:dyDescent="0.25"/>
  <cols>
    <col min="1" max="1" width="18.42578125" customWidth="1"/>
    <col min="2" max="2" width="14" customWidth="1"/>
    <col min="3" max="7" width="20" customWidth="1"/>
    <col min="8" max="8" width="29.140625" customWidth="1"/>
    <col min="9" max="9" width="16.85546875" bestFit="1" customWidth="1"/>
  </cols>
  <sheetData>
    <row r="1" spans="1:9" ht="27.75" customHeight="1" x14ac:dyDescent="0.3">
      <c r="A1" s="15" t="s">
        <v>0</v>
      </c>
      <c r="B1" s="15"/>
      <c r="C1" s="15"/>
      <c r="D1" s="15"/>
      <c r="E1" s="15"/>
      <c r="F1" s="15"/>
      <c r="G1" s="15"/>
    </row>
    <row r="3" spans="1:9" x14ac:dyDescent="0.25">
      <c r="A3" s="1" t="s">
        <v>1</v>
      </c>
      <c r="B3" s="16" t="s">
        <v>24</v>
      </c>
      <c r="C3" s="16"/>
      <c r="D3" s="16"/>
      <c r="F3" s="1" t="s">
        <v>2</v>
      </c>
      <c r="G3" s="2">
        <v>46321</v>
      </c>
    </row>
    <row r="4" spans="1:9" x14ac:dyDescent="0.25">
      <c r="A4" s="1" t="s">
        <v>3</v>
      </c>
      <c r="B4" s="16" t="s">
        <v>23</v>
      </c>
      <c r="C4" s="16"/>
      <c r="D4" s="16"/>
      <c r="F4" s="1" t="s">
        <v>15</v>
      </c>
      <c r="G4" s="3">
        <f>G3+4</f>
        <v>46325</v>
      </c>
    </row>
    <row r="5" spans="1:9" x14ac:dyDescent="0.25">
      <c r="A5" s="1" t="s">
        <v>11</v>
      </c>
      <c r="B5" s="16" t="s">
        <v>25</v>
      </c>
      <c r="C5" s="16"/>
      <c r="D5" s="16"/>
    </row>
    <row r="6" spans="1:9" ht="39" customHeight="1" x14ac:dyDescent="0.25">
      <c r="A6" s="11" t="s">
        <v>12</v>
      </c>
      <c r="B6" s="12"/>
      <c r="C6" s="12"/>
      <c r="D6" s="12"/>
      <c r="E6" s="12"/>
      <c r="F6" s="12"/>
      <c r="G6" s="12"/>
      <c r="H6" s="12"/>
    </row>
    <row r="8" spans="1:9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25">
      <c r="A9" s="5"/>
      <c r="B9" s="5"/>
      <c r="C9" s="6">
        <f>$G$3+0</f>
        <v>46321</v>
      </c>
      <c r="D9" s="6">
        <f>$G$3+1</f>
        <v>46322</v>
      </c>
      <c r="E9" s="6">
        <f>$G$3+2</f>
        <v>46323</v>
      </c>
      <c r="F9" s="6">
        <f>$G$3+3</f>
        <v>46324</v>
      </c>
      <c r="G9" s="6">
        <f>$G$3+4</f>
        <v>46325</v>
      </c>
      <c r="H9" s="6"/>
      <c r="I9" s="6" t="s">
        <v>17</v>
      </c>
    </row>
    <row r="10" spans="1:9" ht="48" customHeight="1" x14ac:dyDescent="0.25">
      <c r="A10" s="8" t="s">
        <v>18</v>
      </c>
      <c r="B10" s="10" t="s">
        <v>22</v>
      </c>
      <c r="C10" s="9" t="s">
        <v>28</v>
      </c>
      <c r="D10" s="9" t="s">
        <v>26</v>
      </c>
      <c r="E10" s="9" t="s">
        <v>30</v>
      </c>
      <c r="F10" s="9"/>
      <c r="G10" s="9"/>
      <c r="H10" s="9"/>
      <c r="I10" s="9"/>
    </row>
    <row r="11" spans="1:9" ht="80.25" customHeight="1" x14ac:dyDescent="0.25">
      <c r="A11" s="8" t="s">
        <v>19</v>
      </c>
      <c r="B11" s="10" t="s">
        <v>22</v>
      </c>
      <c r="C11" s="9" t="s">
        <v>27</v>
      </c>
      <c r="D11" s="9" t="s">
        <v>26</v>
      </c>
      <c r="E11" s="9" t="s">
        <v>30</v>
      </c>
      <c r="F11" s="9"/>
      <c r="G11" s="9"/>
      <c r="H11" s="9"/>
      <c r="I11" s="9"/>
    </row>
    <row r="12" spans="1:9" ht="48" customHeight="1" x14ac:dyDescent="0.25">
      <c r="A12" s="8" t="s">
        <v>20</v>
      </c>
      <c r="B12" s="10" t="s">
        <v>22</v>
      </c>
      <c r="C12" s="9" t="s">
        <v>26</v>
      </c>
      <c r="D12" s="9" t="s">
        <v>26</v>
      </c>
      <c r="E12" s="9" t="s">
        <v>29</v>
      </c>
      <c r="F12" s="9"/>
      <c r="G12" s="9"/>
      <c r="H12" s="9"/>
      <c r="I12" s="9"/>
    </row>
    <row r="13" spans="1:9" x14ac:dyDescent="0.25">
      <c r="A13" s="8" t="s">
        <v>21</v>
      </c>
      <c r="B13" s="10"/>
      <c r="C13" s="9"/>
      <c r="D13" s="9"/>
      <c r="E13" s="9"/>
      <c r="F13" s="9"/>
      <c r="G13" s="9"/>
      <c r="H13" s="9"/>
      <c r="I13" s="9"/>
    </row>
    <row r="14" spans="1:9" ht="27.95" customHeight="1" x14ac:dyDescent="0.25">
      <c r="A14" s="13" t="s">
        <v>14</v>
      </c>
      <c r="B14" s="14"/>
      <c r="C14" s="14"/>
      <c r="D14" s="14"/>
      <c r="E14" s="14"/>
    </row>
  </sheetData>
  <mergeCells count="6">
    <mergeCell ref="A6:H6"/>
    <mergeCell ref="A14:E14"/>
    <mergeCell ref="A1:G1"/>
    <mergeCell ref="B3:D3"/>
    <mergeCell ref="B4:D4"/>
    <mergeCell ref="B5:D5"/>
  </mergeCells>
  <pageMargins left="0.75" right="0.75" top="1" bottom="1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Ferlis Enrique Conde mejia</cp:lastModifiedBy>
  <cp:revision>0</cp:revision>
  <dcterms:created xsi:type="dcterms:W3CDTF">2026-10-14T18:42:27Z</dcterms:created>
  <dcterms:modified xsi:type="dcterms:W3CDTF">2026-10-28T20:28:55Z</dcterms:modified>
  <dc:language>en-US</dc:language>
</cp:coreProperties>
</file>